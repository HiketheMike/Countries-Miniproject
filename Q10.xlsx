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8AB9E9F-740C-4CB9-9C0D-AD5C225E00CA}" xr6:coauthVersionLast="47" xr6:coauthVersionMax="47" xr10:uidLastSave="{00000000-0000-0000-0000-000000000000}"/>
  <bookViews>
    <workbookView xWindow="-110" yWindow="-110" windowWidth="19420" windowHeight="10300" xr2:uid="{678CA578-D111-487A-A153-97FF8019C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F23" i="1"/>
  <c r="D23" i="1"/>
  <c r="B23" i="1"/>
</calcChain>
</file>

<file path=xl/sharedStrings.xml><?xml version="1.0" encoding="utf-8"?>
<sst xmlns="http://schemas.openxmlformats.org/spreadsheetml/2006/main" count="9" uniqueCount="9">
  <si>
    <t>Quarter</t>
  </si>
  <si>
    <t>Government Expenditure (in UYU thousand)</t>
  </si>
  <si>
    <t xml:space="preserve">Inflation </t>
  </si>
  <si>
    <t>Trade Balance</t>
  </si>
  <si>
    <t>Burns Mitchell GE</t>
  </si>
  <si>
    <t>Average</t>
  </si>
  <si>
    <t>Burns Mitchell Inflation</t>
  </si>
  <si>
    <t>Burns Mitchell TB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</si>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</sst>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593E-069C-4771-9162-92EA7FA58F1D}">
  <dimension ref="A1:H23"/>
  <sheetViews>
    <sheetView tabSelected="1" workbookViewId="0">
      <selection activeCell="I5" sqref="I5"/>
    </sheetView>
  </sheetViews>
  <sheetFormatPr defaultRowHeight="14.5" x14ac:dyDescent="0.35"/>
  <cols>
    <col min="1" max="1" width="9.08984375" bestFit="1" customWidth="1"/>
    <col min="2" max="2" width="36.08984375" bestFit="1" customWidth="1"/>
    <col min="3" max="3" width="36.08984375" customWidth="1"/>
    <col min="5" max="5" width="19.36328125" bestFit="1" customWidth="1"/>
    <col min="6" max="6" width="12.453125" bestFit="1" customWidth="1"/>
    <col min="7" max="7" width="14.7265625" bestFit="1" customWidth="1"/>
  </cols>
  <sheetData>
    <row r="1" spans="1:8" x14ac:dyDescent="0.35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3</v>
      </c>
      <c r="G1" t="s">
        <v>7</v>
      </c>
      <c r="H1" t="s">
        <v>8</v>
      </c>
    </row>
    <row r="2" spans="1:8" x14ac:dyDescent="0.35">
      <c r="A2" s="1">
        <v>42826</v>
      </c>
      <c r="B2">
        <v>73000</v>
      </c>
      <c r="C2">
        <f>((B2-B$23)/B$23)</f>
        <v>-6.7383698328365481E-3</v>
      </c>
      <c r="D2">
        <v>5.7811065680000002</v>
      </c>
      <c r="E2">
        <f>((D2-D$23)/D$23)</f>
        <v>-0.27582622650387967</v>
      </c>
      <c r="F2">
        <v>490.33366360000002</v>
      </c>
      <c r="G2">
        <f>((F2-F$23)/F$23)</f>
        <v>0.90883115381310986</v>
      </c>
      <c r="H2">
        <v>1.0212218E-2</v>
      </c>
    </row>
    <row r="3" spans="1:8" x14ac:dyDescent="0.35">
      <c r="A3" s="1">
        <v>42917</v>
      </c>
      <c r="B3">
        <v>72000</v>
      </c>
      <c r="C3">
        <f t="shared" ref="C3:C22" si="0">((B3-B$23)/B$23)</f>
        <v>-2.0344693533756595E-2</v>
      </c>
      <c r="D3">
        <v>5.4806070829999998</v>
      </c>
      <c r="E3">
        <f t="shared" ref="E3:E22" si="1">((D3-D$23)/D$23)</f>
        <v>-0.31346847430305419</v>
      </c>
      <c r="F3">
        <v>497.70549119999998</v>
      </c>
      <c r="G3">
        <f t="shared" ref="G3:G22" si="2">((F3-F$23)/F$23)</f>
        <v>0.93752911038436915</v>
      </c>
      <c r="H3">
        <v>-2.6330157999999999E-2</v>
      </c>
    </row>
    <row r="4" spans="1:8" x14ac:dyDescent="0.35">
      <c r="A4" s="1">
        <v>43009</v>
      </c>
      <c r="B4">
        <v>74200</v>
      </c>
      <c r="C4">
        <f t="shared" si="0"/>
        <v>9.5892186082675093E-3</v>
      </c>
      <c r="D4">
        <v>6.2972292190000001</v>
      </c>
      <c r="E4">
        <f t="shared" si="1"/>
        <v>-0.21117381379272707</v>
      </c>
      <c r="F4">
        <v>-16.25826387</v>
      </c>
      <c r="G4">
        <f t="shared" si="2"/>
        <v>-1.063292167937478</v>
      </c>
      <c r="H4">
        <v>4.7083578000000001E-2</v>
      </c>
    </row>
    <row r="5" spans="1:8" x14ac:dyDescent="0.35">
      <c r="A5" s="1">
        <v>43101</v>
      </c>
      <c r="B5">
        <v>64600</v>
      </c>
      <c r="C5">
        <f t="shared" si="0"/>
        <v>-0.12103148892056495</v>
      </c>
      <c r="D5">
        <v>6.7969092289999997</v>
      </c>
      <c r="E5">
        <f t="shared" si="1"/>
        <v>-0.14858109834526487</v>
      </c>
      <c r="F5">
        <v>191.4092661</v>
      </c>
      <c r="G5">
        <f t="shared" si="2"/>
        <v>-0.25485848232880015</v>
      </c>
      <c r="H5">
        <v>-3.2121649999999999E-3</v>
      </c>
    </row>
    <row r="6" spans="1:8" x14ac:dyDescent="0.35">
      <c r="A6" s="1">
        <v>43191</v>
      </c>
      <c r="B6">
        <v>76300</v>
      </c>
      <c r="C6">
        <f t="shared" si="0"/>
        <v>3.8162498380199611E-2</v>
      </c>
      <c r="D6">
        <v>7.2717590679999997</v>
      </c>
      <c r="E6">
        <f t="shared" si="1"/>
        <v>-8.9098749125810867E-2</v>
      </c>
      <c r="F6">
        <v>266.31091470000001</v>
      </c>
      <c r="G6">
        <f t="shared" si="2"/>
        <v>3.6727861692394087E-2</v>
      </c>
      <c r="H6">
        <v>1.0127687E-2</v>
      </c>
    </row>
    <row r="7" spans="1:8" x14ac:dyDescent="0.35">
      <c r="A7" s="1">
        <v>43282</v>
      </c>
      <c r="B7">
        <v>73100</v>
      </c>
      <c r="C7">
        <f t="shared" si="0"/>
        <v>-5.3777374627445428E-3</v>
      </c>
      <c r="D7">
        <v>8.3250472789999996</v>
      </c>
      <c r="E7">
        <f t="shared" si="1"/>
        <v>4.2842028883878933E-2</v>
      </c>
      <c r="F7">
        <v>102.9133025</v>
      </c>
      <c r="G7">
        <f t="shared" si="2"/>
        <v>-0.5993664466936417</v>
      </c>
      <c r="H7">
        <v>-2.6359858E-2</v>
      </c>
    </row>
    <row r="8" spans="1:8" x14ac:dyDescent="0.35">
      <c r="A8" s="1">
        <v>43374</v>
      </c>
      <c r="B8">
        <v>77400</v>
      </c>
      <c r="C8">
        <f t="shared" si="0"/>
        <v>5.3129454451211658E-2</v>
      </c>
      <c r="D8">
        <v>8.0067814899999998</v>
      </c>
      <c r="E8">
        <f t="shared" si="1"/>
        <v>2.9742743832755357E-3</v>
      </c>
      <c r="F8">
        <v>171.18770910000001</v>
      </c>
      <c r="G8">
        <f t="shared" si="2"/>
        <v>-0.33357944490112712</v>
      </c>
      <c r="H8">
        <v>5.6011842999999999E-2</v>
      </c>
    </row>
    <row r="9" spans="1:8" x14ac:dyDescent="0.35">
      <c r="A9" s="1">
        <v>43466</v>
      </c>
      <c r="B9">
        <v>65900</v>
      </c>
      <c r="C9">
        <f t="shared" si="0"/>
        <v>-0.10334326810936888</v>
      </c>
      <c r="D9">
        <v>7.5558953510000002</v>
      </c>
      <c r="E9">
        <f t="shared" si="1"/>
        <v>-5.3506247616457635E-2</v>
      </c>
      <c r="F9">
        <v>330.69759060000001</v>
      </c>
      <c r="G9">
        <f t="shared" si="2"/>
        <v>0.28738022756513315</v>
      </c>
      <c r="H9">
        <v>-2.4331119999999999E-3</v>
      </c>
    </row>
    <row r="10" spans="1:8" x14ac:dyDescent="0.35">
      <c r="A10" s="1">
        <v>43556</v>
      </c>
      <c r="B10">
        <v>77700</v>
      </c>
      <c r="C10">
        <f t="shared" si="0"/>
        <v>5.7211351561487676E-2</v>
      </c>
      <c r="D10">
        <v>7.7495863209999998</v>
      </c>
      <c r="E10">
        <f t="shared" si="1"/>
        <v>-2.9243432360043994E-2</v>
      </c>
      <c r="F10">
        <v>504.56023920000001</v>
      </c>
      <c r="G10">
        <f t="shared" si="2"/>
        <v>0.96421411593318695</v>
      </c>
      <c r="H10">
        <v>3.3791702999999999E-2</v>
      </c>
    </row>
    <row r="11" spans="1:8" x14ac:dyDescent="0.35">
      <c r="A11" s="1">
        <v>43647</v>
      </c>
      <c r="B11">
        <v>75900</v>
      </c>
      <c r="C11">
        <f t="shared" si="0"/>
        <v>3.2719968899831586E-2</v>
      </c>
      <c r="D11">
        <v>7.6924461400000004</v>
      </c>
      <c r="E11">
        <f t="shared" si="1"/>
        <v>-3.6401131324125931E-2</v>
      </c>
      <c r="F11">
        <v>337.21135779999997</v>
      </c>
      <c r="G11">
        <f t="shared" si="2"/>
        <v>0.31273782114489795</v>
      </c>
      <c r="H11">
        <v>-7.6306059999999998E-3</v>
      </c>
    </row>
    <row r="12" spans="1:8" x14ac:dyDescent="0.35">
      <c r="A12" s="1">
        <v>43739</v>
      </c>
      <c r="B12">
        <v>79200</v>
      </c>
      <c r="C12">
        <f t="shared" si="0"/>
        <v>7.7620837112867741E-2</v>
      </c>
      <c r="D12">
        <v>8.5102208269999995</v>
      </c>
      <c r="E12">
        <f t="shared" si="1"/>
        <v>6.6037904176870915E-2</v>
      </c>
      <c r="F12">
        <v>200.43434690000001</v>
      </c>
      <c r="G12">
        <f t="shared" si="2"/>
        <v>-0.2197245384950475</v>
      </c>
      <c r="H12">
        <v>5.0316304999999999E-2</v>
      </c>
    </row>
    <row r="13" spans="1:8" x14ac:dyDescent="0.35">
      <c r="A13" s="1">
        <v>43831</v>
      </c>
      <c r="B13">
        <v>65900</v>
      </c>
      <c r="C13">
        <f t="shared" si="0"/>
        <v>-0.10334326810936888</v>
      </c>
      <c r="D13">
        <v>8.7276131689999996</v>
      </c>
      <c r="E13">
        <f t="shared" si="1"/>
        <v>9.326968597911553E-2</v>
      </c>
      <c r="F13">
        <v>-51.712038669999998</v>
      </c>
      <c r="G13">
        <f t="shared" si="2"/>
        <v>-1.2013109801920689</v>
      </c>
      <c r="H13">
        <v>-3.0102054E-2</v>
      </c>
    </row>
    <row r="14" spans="1:8" x14ac:dyDescent="0.35">
      <c r="A14" s="1">
        <v>43922</v>
      </c>
      <c r="B14">
        <v>66900</v>
      </c>
      <c r="C14">
        <f t="shared" si="0"/>
        <v>-8.9736944408448829E-2</v>
      </c>
      <c r="D14">
        <v>10.75846771</v>
      </c>
      <c r="E14">
        <f t="shared" si="1"/>
        <v>0.34766589526513353</v>
      </c>
      <c r="F14">
        <v>357.15889199999998</v>
      </c>
      <c r="G14">
        <f t="shared" si="2"/>
        <v>0.3903920340805494</v>
      </c>
      <c r="H14">
        <v>-0.118598801</v>
      </c>
    </row>
    <row r="15" spans="1:8" x14ac:dyDescent="0.35">
      <c r="A15" s="1">
        <v>44013</v>
      </c>
      <c r="B15">
        <v>73500</v>
      </c>
      <c r="C15">
        <f t="shared" si="0"/>
        <v>6.4792017623475933E-5</v>
      </c>
      <c r="D15">
        <v>9.9473552269999992</v>
      </c>
      <c r="E15">
        <f t="shared" si="1"/>
        <v>0.24606140473467666</v>
      </c>
      <c r="F15">
        <v>301.4748007</v>
      </c>
      <c r="G15">
        <f t="shared" si="2"/>
        <v>0.17361815919537923</v>
      </c>
      <c r="H15">
        <v>-7.7969254000000002E-2</v>
      </c>
    </row>
    <row r="16" spans="1:8" x14ac:dyDescent="0.35">
      <c r="A16" s="1">
        <v>44105</v>
      </c>
      <c r="B16">
        <v>77000</v>
      </c>
      <c r="C16">
        <f t="shared" si="0"/>
        <v>4.768692497084364E-2</v>
      </c>
      <c r="D16">
        <v>9.5786826230000006</v>
      </c>
      <c r="E16">
        <f t="shared" si="1"/>
        <v>0.19987941039104293</v>
      </c>
      <c r="F16">
        <v>148.75926089999999</v>
      </c>
      <c r="G16">
        <f t="shared" si="2"/>
        <v>-0.4208916647913945</v>
      </c>
      <c r="H16">
        <v>9.7324499999999997E-4</v>
      </c>
    </row>
    <row r="17" spans="1:8" x14ac:dyDescent="0.35">
      <c r="A17" s="1">
        <v>44197</v>
      </c>
      <c r="B17">
        <v>68500</v>
      </c>
      <c r="C17">
        <f t="shared" si="0"/>
        <v>-6.7966826486976759E-2</v>
      </c>
      <c r="D17">
        <v>8.7796788540000001</v>
      </c>
      <c r="E17">
        <f t="shared" si="1"/>
        <v>9.9791725165318382E-2</v>
      </c>
      <c r="F17">
        <v>31.093984639999999</v>
      </c>
      <c r="G17">
        <f t="shared" si="2"/>
        <v>-0.87895351475309491</v>
      </c>
      <c r="H17">
        <v>-6.5294223999999998E-2</v>
      </c>
    </row>
    <row r="18" spans="1:8" x14ac:dyDescent="0.35">
      <c r="A18" s="1">
        <v>44287</v>
      </c>
      <c r="B18">
        <v>73400</v>
      </c>
      <c r="C18">
        <f t="shared" si="0"/>
        <v>-1.2958403524685287E-3</v>
      </c>
      <c r="D18">
        <v>6.9080264979999999</v>
      </c>
      <c r="E18">
        <f t="shared" si="1"/>
        <v>-0.13466192715445391</v>
      </c>
      <c r="F18">
        <v>321.45302720000001</v>
      </c>
      <c r="G18">
        <f t="shared" si="2"/>
        <v>0.25139185488893889</v>
      </c>
      <c r="H18">
        <v>-1.2784691000000001E-2</v>
      </c>
    </row>
    <row r="19" spans="1:8" x14ac:dyDescent="0.35">
      <c r="A19" s="1">
        <v>44378</v>
      </c>
      <c r="B19">
        <v>78700</v>
      </c>
      <c r="C19">
        <f t="shared" si="0"/>
        <v>7.0817675262407717E-2</v>
      </c>
      <c r="D19">
        <v>7.4330794840000003</v>
      </c>
      <c r="E19">
        <f t="shared" si="1"/>
        <v>-6.8890850685858721E-2</v>
      </c>
      <c r="F19">
        <v>522.9259035</v>
      </c>
      <c r="G19">
        <f t="shared" si="2"/>
        <v>1.0357102312904871</v>
      </c>
      <c r="H19">
        <v>-6.9703530000000003E-3</v>
      </c>
    </row>
    <row r="20" spans="1:8" x14ac:dyDescent="0.35">
      <c r="A20" s="1">
        <v>44470</v>
      </c>
      <c r="B20">
        <v>78600</v>
      </c>
      <c r="C20">
        <f t="shared" si="0"/>
        <v>6.9457042892315718E-2</v>
      </c>
      <c r="D20">
        <v>7.9057905789999996</v>
      </c>
      <c r="E20">
        <f t="shared" si="1"/>
        <v>-9.6764125133305557E-3</v>
      </c>
      <c r="F20">
        <v>11.50358069</v>
      </c>
      <c r="G20">
        <f t="shared" si="2"/>
        <v>-0.95521744715576384</v>
      </c>
      <c r="H20">
        <v>7.9931736000000003E-2</v>
      </c>
    </row>
    <row r="21" spans="1:8" x14ac:dyDescent="0.35">
      <c r="A21" s="1">
        <v>44562</v>
      </c>
      <c r="B21">
        <v>71000</v>
      </c>
      <c r="C21">
        <f t="shared" si="0"/>
        <v>-3.3951017234676639E-2</v>
      </c>
      <c r="D21">
        <v>8.7952036820000004</v>
      </c>
      <c r="E21">
        <f t="shared" si="1"/>
        <v>0.10173645203436965</v>
      </c>
      <c r="F21">
        <v>-158.1029216</v>
      </c>
      <c r="G21">
        <f t="shared" si="2"/>
        <v>-1.6154824860345396</v>
      </c>
      <c r="H21">
        <v>1.3337567E-2</v>
      </c>
    </row>
    <row r="22" spans="1:8" x14ac:dyDescent="0.35">
      <c r="A22" s="1">
        <v>44652</v>
      </c>
      <c r="B22">
        <v>80600</v>
      </c>
      <c r="C22">
        <f t="shared" si="0"/>
        <v>9.6669690294155813E-2</v>
      </c>
      <c r="D22">
        <v>9.3423062510000001</v>
      </c>
      <c r="E22">
        <f t="shared" si="1"/>
        <v>0.17026958271132545</v>
      </c>
      <c r="F22">
        <v>833.34416739999995</v>
      </c>
      <c r="G22">
        <f t="shared" si="2"/>
        <v>2.2441446032945129</v>
      </c>
      <c r="H22">
        <v>7.5899394999999995E-2</v>
      </c>
    </row>
    <row r="23" spans="1:8" s="2" customFormat="1" x14ac:dyDescent="0.35">
      <c r="A23" s="2" t="s">
        <v>5</v>
      </c>
      <c r="B23" s="2">
        <f>AVERAGE(B2:B22)</f>
        <v>73495.238095238092</v>
      </c>
      <c r="D23" s="2">
        <f>AVERAGE(D2:D22)</f>
        <v>7.9830377453333332</v>
      </c>
      <c r="F23" s="2">
        <f>AVERAGE(F2:F22)</f>
        <v>256.87639402809521</v>
      </c>
      <c r="H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Phuong Vu Nguyen</cp:lastModifiedBy>
  <dcterms:created xsi:type="dcterms:W3CDTF">2026-06-27T16:56:55Z</dcterms:created>
  <dcterms:modified xsi:type="dcterms:W3CDTF">2026-06-27T17:11:19Z</dcterms:modified>
</cp:coreProperties>
</file>